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bar_aa\save\"/>
    </mc:Choice>
  </mc:AlternateContent>
  <bookViews>
    <workbookView xWindow="0" yWindow="0" windowWidth="28800" windowHeight="11625" activeTab="1"/>
  </bookViews>
  <sheets>
    <sheet name="26년1월" sheetId="1" r:id="rId1"/>
    <sheet name="26년2월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1" l="1"/>
  <c r="F12" i="3"/>
  <c r="E13" i="1"/>
  <c r="D12" i="1"/>
  <c r="D12" i="3"/>
  <c r="E13" i="3"/>
  <c r="D13" i="1"/>
  <c r="D13" i="3"/>
  <c r="E11" i="3"/>
  <c r="E11" i="1"/>
  <c r="E10" i="3"/>
  <c r="E10" i="1"/>
  <c r="E8" i="3" l="1"/>
  <c r="D8" i="3"/>
  <c r="E8" i="1"/>
  <c r="D8" i="1"/>
  <c r="E7" i="3"/>
  <c r="D7" i="3"/>
  <c r="E7" i="1"/>
  <c r="D7" i="1"/>
  <c r="E5" i="3"/>
  <c r="D5" i="3"/>
  <c r="E5" i="1"/>
  <c r="D5" i="1"/>
  <c r="E6" i="3"/>
  <c r="D6" i="3"/>
  <c r="E6" i="1"/>
  <c r="D6" i="1"/>
</calcChain>
</file>

<file path=xl/comments1.xml><?xml version="1.0" encoding="utf-8"?>
<comments xmlns="http://schemas.openxmlformats.org/spreadsheetml/2006/main">
  <authors>
    <author>Registered User</author>
  </authors>
  <commentList>
    <comment ref="J12" authorId="0" shapeId="0">
      <text>
        <r>
          <rPr>
            <b/>
            <sz val="9"/>
            <color indexed="81"/>
            <rFont val="Tahoma"/>
            <family val="2"/>
          </rPr>
          <t>Registered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판매자할인쿠폰</t>
        </r>
      </text>
    </comment>
    <comment ref="P13" authorId="0" shapeId="0">
      <text>
        <r>
          <rPr>
            <b/>
            <sz val="9"/>
            <color indexed="81"/>
            <rFont val="Tahoma"/>
            <family val="2"/>
          </rPr>
          <t>Registered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재고손실보상</t>
        </r>
      </text>
    </comment>
  </commentList>
</comments>
</file>

<file path=xl/sharedStrings.xml><?xml version="1.0" encoding="utf-8"?>
<sst xmlns="http://schemas.openxmlformats.org/spreadsheetml/2006/main" count="38" uniqueCount="19">
  <si>
    <t>옥션(159)</t>
    <phoneticPr fontId="2" type="noConversion"/>
  </si>
  <si>
    <t>G마켓(159)</t>
    <phoneticPr fontId="2" type="noConversion"/>
  </si>
  <si>
    <t>매출</t>
    <phoneticPr fontId="2" type="noConversion"/>
  </si>
  <si>
    <t>수수료</t>
    <phoneticPr fontId="2" type="noConversion"/>
  </si>
  <si>
    <t>광고비</t>
    <phoneticPr fontId="2" type="noConversion"/>
  </si>
  <si>
    <t>기타</t>
    <phoneticPr fontId="2" type="noConversion"/>
  </si>
  <si>
    <t>옥션(259)</t>
    <phoneticPr fontId="2" type="noConversion"/>
  </si>
  <si>
    <t>G마켓(259)</t>
    <phoneticPr fontId="2" type="noConversion"/>
  </si>
  <si>
    <t>11번가</t>
    <phoneticPr fontId="2" type="noConversion"/>
  </si>
  <si>
    <t>네이버(159)</t>
    <phoneticPr fontId="2" type="noConversion"/>
  </si>
  <si>
    <t>네이버(259)</t>
    <phoneticPr fontId="2" type="noConversion"/>
  </si>
  <si>
    <t>쿠팡(일반판매)</t>
    <phoneticPr fontId="2" type="noConversion"/>
  </si>
  <si>
    <t>쿠팡(로켓그로스)</t>
    <phoneticPr fontId="2" type="noConversion"/>
  </si>
  <si>
    <t>서비스이용료</t>
    <phoneticPr fontId="2" type="noConversion"/>
  </si>
  <si>
    <t>매출</t>
    <phoneticPr fontId="2" type="noConversion"/>
  </si>
  <si>
    <t>배송비</t>
    <phoneticPr fontId="2" type="noConversion"/>
  </si>
  <si>
    <t>교환비</t>
    <phoneticPr fontId="2" type="noConversion"/>
  </si>
  <si>
    <t>abar159</t>
    <phoneticPr fontId="2" type="noConversion"/>
  </si>
  <si>
    <t>jini0467++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</si>
</sst>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1" fontId="0" fillId="0" borderId="0" xfId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P16"/>
  <sheetViews>
    <sheetView workbookViewId="0">
      <selection activeCell="D18" sqref="D18"/>
    </sheetView>
  </sheetViews>
  <sheetFormatPr defaultRowHeight="16.5" x14ac:dyDescent="0.3"/>
  <cols>
    <col min="3" max="3" width="16.625" customWidth="1"/>
    <col min="4" max="7" width="20.875" customWidth="1"/>
    <col min="9" max="9" width="10.875" bestFit="1" customWidth="1"/>
    <col min="10" max="10" width="12.75" customWidth="1"/>
    <col min="12" max="13" width="10.875" bestFit="1" customWidth="1"/>
    <col min="14" max="14" width="9.375" bestFit="1" customWidth="1"/>
  </cols>
  <sheetData>
    <row r="4" spans="3:16" x14ac:dyDescent="0.3">
      <c r="D4" t="s">
        <v>2</v>
      </c>
      <c r="E4" t="s">
        <v>3</v>
      </c>
      <c r="F4" t="s">
        <v>4</v>
      </c>
      <c r="G4" t="s">
        <v>5</v>
      </c>
      <c r="I4" t="s">
        <v>14</v>
      </c>
      <c r="J4" t="s">
        <v>15</v>
      </c>
      <c r="K4" t="s">
        <v>16</v>
      </c>
      <c r="M4" t="s">
        <v>13</v>
      </c>
    </row>
    <row r="5" spans="3:16" ht="30" customHeight="1" x14ac:dyDescent="0.3">
      <c r="C5" t="s">
        <v>0</v>
      </c>
      <c r="D5" s="1">
        <f>SUM(I5:K5)</f>
        <v>1659450</v>
      </c>
      <c r="E5" s="1">
        <f>SUM(M5:N5)</f>
        <v>81947</v>
      </c>
      <c r="F5" s="1">
        <v>914594</v>
      </c>
      <c r="G5" s="1"/>
      <c r="H5" s="1"/>
      <c r="I5" s="1">
        <v>1656450</v>
      </c>
      <c r="J5" s="1">
        <v>3000</v>
      </c>
      <c r="K5" s="1"/>
      <c r="L5" s="1"/>
      <c r="M5" s="1">
        <v>81848</v>
      </c>
      <c r="N5" s="1">
        <v>99</v>
      </c>
      <c r="O5" s="1"/>
    </row>
    <row r="6" spans="3:16" ht="30" customHeight="1" x14ac:dyDescent="0.3">
      <c r="C6" t="s">
        <v>1</v>
      </c>
      <c r="D6" s="1">
        <f>SUM(I6:K6)</f>
        <v>2279520</v>
      </c>
      <c r="E6" s="1">
        <f>SUM(M6:N6)</f>
        <v>72672</v>
      </c>
      <c r="F6" s="1">
        <v>1235997</v>
      </c>
      <c r="G6" s="1"/>
      <c r="H6" s="1"/>
      <c r="I6" s="1">
        <v>2255420</v>
      </c>
      <c r="J6" s="1">
        <v>18000</v>
      </c>
      <c r="K6" s="1">
        <v>6100</v>
      </c>
      <c r="L6" s="1"/>
      <c r="M6" s="1">
        <v>72076</v>
      </c>
      <c r="N6" s="1">
        <v>596</v>
      </c>
      <c r="O6" s="1"/>
    </row>
    <row r="7" spans="3:16" ht="30" customHeight="1" x14ac:dyDescent="0.3">
      <c r="C7" t="s">
        <v>6</v>
      </c>
      <c r="D7" s="1">
        <f>SUM(I7:K7)</f>
        <v>2516160</v>
      </c>
      <c r="E7" s="1">
        <f>SUM(M7:N7)</f>
        <v>156317</v>
      </c>
      <c r="F7" s="1">
        <v>1298466</v>
      </c>
      <c r="G7" s="1"/>
      <c r="H7" s="1"/>
      <c r="I7" s="1">
        <v>2358660</v>
      </c>
      <c r="J7" s="1">
        <v>157500</v>
      </c>
      <c r="K7" s="1"/>
      <c r="L7" s="1"/>
      <c r="M7" s="1">
        <v>151097</v>
      </c>
      <c r="N7" s="1">
        <v>5220</v>
      </c>
      <c r="O7" s="1"/>
    </row>
    <row r="8" spans="3:16" ht="30" customHeight="1" x14ac:dyDescent="0.3">
      <c r="C8" t="s">
        <v>7</v>
      </c>
      <c r="D8" s="1">
        <f>SUM(I8:K8)</f>
        <v>4741010</v>
      </c>
      <c r="E8" s="1">
        <f>SUM(M8:N8)</f>
        <v>275175</v>
      </c>
      <c r="F8" s="1">
        <v>1401729</v>
      </c>
      <c r="G8" s="1"/>
      <c r="H8" s="1"/>
      <c r="I8" s="1">
        <v>4535010</v>
      </c>
      <c r="J8" s="1">
        <v>206000</v>
      </c>
      <c r="K8" s="1"/>
      <c r="L8" s="1"/>
      <c r="M8" s="1">
        <v>268349</v>
      </c>
      <c r="N8" s="1">
        <v>6826</v>
      </c>
      <c r="O8" s="1"/>
    </row>
    <row r="9" spans="3:16" ht="30" customHeight="1" x14ac:dyDescent="0.3">
      <c r="C9" t="s">
        <v>8</v>
      </c>
      <c r="D9" s="1">
        <v>1413900</v>
      </c>
      <c r="E9" s="1">
        <v>171960</v>
      </c>
      <c r="F9" s="1">
        <v>703758</v>
      </c>
      <c r="G9" s="1"/>
      <c r="H9" s="1"/>
      <c r="I9" s="1"/>
      <c r="J9" s="1"/>
      <c r="K9" s="1"/>
      <c r="L9" s="1"/>
      <c r="M9" s="1"/>
      <c r="N9" s="1"/>
      <c r="O9" s="1"/>
    </row>
    <row r="10" spans="3:16" ht="30" customHeight="1" x14ac:dyDescent="0.3">
      <c r="C10" t="s">
        <v>9</v>
      </c>
      <c r="D10" s="1">
        <v>3308300</v>
      </c>
      <c r="E10" s="1">
        <f>SUM(M10:N10)</f>
        <v>181342</v>
      </c>
      <c r="F10" s="1">
        <v>1698390</v>
      </c>
      <c r="G10" s="1"/>
      <c r="H10" s="1"/>
      <c r="I10" s="1"/>
      <c r="J10" s="1"/>
      <c r="K10" s="1"/>
      <c r="L10" s="1"/>
      <c r="M10" s="1">
        <v>120011</v>
      </c>
      <c r="N10" s="1">
        <v>61331</v>
      </c>
      <c r="O10" s="1"/>
    </row>
    <row r="11" spans="3:16" ht="30" customHeight="1" x14ac:dyDescent="0.3">
      <c r="C11" t="s">
        <v>10</v>
      </c>
      <c r="D11" s="1">
        <v>2890820</v>
      </c>
      <c r="E11" s="1">
        <f>SUM(M11:N11)</f>
        <v>169734</v>
      </c>
      <c r="F11" s="1">
        <v>619353</v>
      </c>
      <c r="G11" s="1"/>
      <c r="H11" s="1"/>
      <c r="I11" s="1"/>
      <c r="J11" s="1"/>
      <c r="K11" s="1"/>
      <c r="L11" s="1"/>
      <c r="M11" s="1">
        <v>104879</v>
      </c>
      <c r="N11" s="1">
        <v>64855</v>
      </c>
      <c r="O11" s="1"/>
    </row>
    <row r="12" spans="3:16" ht="30" customHeight="1" x14ac:dyDescent="0.3">
      <c r="C12" t="s">
        <v>11</v>
      </c>
      <c r="D12" s="1">
        <f>I12-J12</f>
        <v>24025270</v>
      </c>
      <c r="E12" s="1">
        <v>2656682</v>
      </c>
      <c r="F12" s="1">
        <f>L12-F13</f>
        <v>9149965</v>
      </c>
      <c r="G12" s="1"/>
      <c r="H12" s="1"/>
      <c r="I12" s="1">
        <v>28830230</v>
      </c>
      <c r="J12" s="1">
        <v>4804960</v>
      </c>
      <c r="K12" s="1"/>
      <c r="L12" s="1">
        <v>41786857</v>
      </c>
      <c r="M12" s="1"/>
      <c r="N12" s="1"/>
      <c r="O12" s="1"/>
    </row>
    <row r="13" spans="3:16" ht="30" customHeight="1" x14ac:dyDescent="0.3">
      <c r="C13" t="s">
        <v>12</v>
      </c>
      <c r="D13" s="1">
        <f>I13-J13</f>
        <v>62230970</v>
      </c>
      <c r="E13" s="1">
        <f>SUM(L13:P13)</f>
        <v>15219793</v>
      </c>
      <c r="F13" s="1">
        <v>32636892</v>
      </c>
      <c r="G13" s="1"/>
      <c r="H13" s="1"/>
      <c r="I13" s="1">
        <v>79621680</v>
      </c>
      <c r="J13" s="1">
        <v>17390710</v>
      </c>
      <c r="K13" s="1"/>
      <c r="L13" s="1">
        <v>9793355</v>
      </c>
      <c r="M13" s="1">
        <v>5919424</v>
      </c>
      <c r="N13" s="1">
        <v>108900</v>
      </c>
      <c r="O13" s="1">
        <v>32894</v>
      </c>
      <c r="P13">
        <v>-634780</v>
      </c>
    </row>
    <row r="14" spans="3:16" x14ac:dyDescent="0.3"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3:16" x14ac:dyDescent="0.3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3:16" x14ac:dyDescent="0.3">
      <c r="D16" s="1"/>
      <c r="E16" s="1"/>
      <c r="F16" s="1" t="s">
        <v>17</v>
      </c>
      <c r="G16" s="1" t="s">
        <v>18</v>
      </c>
      <c r="H16" s="1"/>
      <c r="I16" s="1"/>
      <c r="J16" s="1"/>
      <c r="K16" s="1"/>
      <c r="L16" s="1"/>
      <c r="M16" s="1"/>
      <c r="N16" s="1"/>
      <c r="O16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4:Q18"/>
  <sheetViews>
    <sheetView tabSelected="1" topLeftCell="B1" workbookViewId="0">
      <selection activeCell="E21" sqref="E21"/>
    </sheetView>
  </sheetViews>
  <sheetFormatPr defaultRowHeight="16.5" x14ac:dyDescent="0.3"/>
  <cols>
    <col min="3" max="3" width="16.625" customWidth="1"/>
    <col min="4" max="7" width="20.875" customWidth="1"/>
    <col min="9" max="10" width="11.875" bestFit="1" customWidth="1"/>
    <col min="12" max="12" width="11.875" bestFit="1" customWidth="1"/>
    <col min="13" max="13" width="10.875" bestFit="1" customWidth="1"/>
    <col min="14" max="14" width="9.375" bestFit="1" customWidth="1"/>
    <col min="16" max="16" width="9.375" bestFit="1" customWidth="1"/>
  </cols>
  <sheetData>
    <row r="4" spans="3:17" x14ac:dyDescent="0.3">
      <c r="D4" t="s">
        <v>2</v>
      </c>
      <c r="E4" t="s">
        <v>3</v>
      </c>
      <c r="F4" t="s">
        <v>4</v>
      </c>
      <c r="G4" t="s">
        <v>5</v>
      </c>
      <c r="I4" t="s">
        <v>14</v>
      </c>
      <c r="J4" t="s">
        <v>15</v>
      </c>
      <c r="K4" t="s">
        <v>16</v>
      </c>
      <c r="M4" t="s">
        <v>13</v>
      </c>
    </row>
    <row r="5" spans="3:17" ht="30" customHeight="1" x14ac:dyDescent="0.3">
      <c r="C5" t="s">
        <v>0</v>
      </c>
      <c r="D5" s="1">
        <f>SUM(I5:K5)</f>
        <v>1659450</v>
      </c>
      <c r="E5" s="1">
        <f>SUM(M5:N5)</f>
        <v>81947</v>
      </c>
      <c r="F5" s="1">
        <v>724408</v>
      </c>
      <c r="G5" s="1"/>
      <c r="H5" s="1"/>
      <c r="I5" s="1">
        <v>1656450</v>
      </c>
      <c r="J5" s="1">
        <v>3000</v>
      </c>
      <c r="K5" s="1"/>
      <c r="L5" s="1"/>
      <c r="M5" s="1">
        <v>81848</v>
      </c>
      <c r="N5" s="1">
        <v>99</v>
      </c>
      <c r="O5" s="1"/>
      <c r="P5" s="1"/>
      <c r="Q5" s="1"/>
    </row>
    <row r="6" spans="3:17" ht="30" customHeight="1" x14ac:dyDescent="0.3">
      <c r="C6" t="s">
        <v>1</v>
      </c>
      <c r="D6" s="1">
        <f>SUM(I6:K6)</f>
        <v>2300360</v>
      </c>
      <c r="E6" s="1">
        <f>SUM(M6:N6)</f>
        <v>82703</v>
      </c>
      <c r="F6" s="1">
        <v>1183588</v>
      </c>
      <c r="G6" s="1"/>
      <c r="H6" s="1"/>
      <c r="I6" s="1">
        <v>2261760</v>
      </c>
      <c r="J6" s="1">
        <v>32500</v>
      </c>
      <c r="K6" s="1">
        <v>6100</v>
      </c>
      <c r="L6" s="1"/>
      <c r="M6" s="1">
        <v>81627</v>
      </c>
      <c r="N6" s="1">
        <v>1076</v>
      </c>
      <c r="O6" s="1"/>
      <c r="P6" s="1"/>
      <c r="Q6" s="1"/>
    </row>
    <row r="7" spans="3:17" ht="30" customHeight="1" x14ac:dyDescent="0.3">
      <c r="C7" t="s">
        <v>6</v>
      </c>
      <c r="D7" s="1">
        <f>SUM(I7:K7)</f>
        <v>970350</v>
      </c>
      <c r="E7" s="1">
        <f>SUM(M7:N7)</f>
        <v>69050</v>
      </c>
      <c r="F7" s="1">
        <v>863543</v>
      </c>
      <c r="G7" s="1"/>
      <c r="H7" s="1"/>
      <c r="I7" s="1">
        <v>886350</v>
      </c>
      <c r="J7" s="1">
        <v>84000</v>
      </c>
      <c r="K7" s="1"/>
      <c r="L7" s="1"/>
      <c r="M7" s="1">
        <v>66266</v>
      </c>
      <c r="N7" s="1">
        <v>2784</v>
      </c>
      <c r="O7" s="1"/>
      <c r="P7" s="1"/>
      <c r="Q7" s="1"/>
    </row>
    <row r="8" spans="3:17" ht="30" customHeight="1" x14ac:dyDescent="0.3">
      <c r="C8" t="s">
        <v>7</v>
      </c>
      <c r="D8" s="1">
        <f>SUM(I8:K8)</f>
        <v>2154090</v>
      </c>
      <c r="E8" s="1">
        <f>SUM(M8:N8)</f>
        <v>124781</v>
      </c>
      <c r="F8" s="1">
        <v>1038788</v>
      </c>
      <c r="G8" s="1"/>
      <c r="H8" s="1"/>
      <c r="I8" s="1">
        <v>1979090</v>
      </c>
      <c r="J8" s="1">
        <v>175000</v>
      </c>
      <c r="K8" s="1"/>
      <c r="L8" s="1"/>
      <c r="M8" s="1">
        <v>118981</v>
      </c>
      <c r="N8" s="1">
        <v>5800</v>
      </c>
      <c r="O8" s="1"/>
      <c r="P8" s="1"/>
      <c r="Q8" s="1"/>
    </row>
    <row r="9" spans="3:17" ht="30" customHeight="1" x14ac:dyDescent="0.3">
      <c r="C9" t="s">
        <v>8</v>
      </c>
      <c r="D9" s="1">
        <v>1272700</v>
      </c>
      <c r="E9" s="1">
        <v>149834</v>
      </c>
      <c r="F9" s="1">
        <v>565235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3:17" ht="30" customHeight="1" x14ac:dyDescent="0.3">
      <c r="C10" t="s">
        <v>9</v>
      </c>
      <c r="D10" s="1">
        <v>2118500</v>
      </c>
      <c r="E10" s="1">
        <f>SUM(M10:N10)</f>
        <v>128485</v>
      </c>
      <c r="F10" s="1">
        <v>243903</v>
      </c>
      <c r="G10" s="1"/>
      <c r="H10" s="1"/>
      <c r="I10" s="1"/>
      <c r="J10" s="1"/>
      <c r="K10" s="1"/>
      <c r="L10" s="1"/>
      <c r="M10" s="1">
        <v>76851</v>
      </c>
      <c r="N10" s="1">
        <v>51634</v>
      </c>
      <c r="O10" s="1"/>
      <c r="P10" s="1"/>
      <c r="Q10" s="1"/>
    </row>
    <row r="11" spans="3:17" ht="30" customHeight="1" x14ac:dyDescent="0.3">
      <c r="C11" t="s">
        <v>10</v>
      </c>
      <c r="D11" s="1">
        <v>1493900</v>
      </c>
      <c r="E11" s="1">
        <f>SUM(M11:N11)</f>
        <v>91059</v>
      </c>
      <c r="F11" s="1">
        <v>174216</v>
      </c>
      <c r="G11" s="1"/>
      <c r="H11" s="1"/>
      <c r="I11" s="1"/>
      <c r="J11" s="1"/>
      <c r="K11" s="1"/>
      <c r="L11" s="1"/>
      <c r="M11" s="1">
        <v>54209</v>
      </c>
      <c r="N11" s="1">
        <v>36850</v>
      </c>
      <c r="O11" s="1"/>
      <c r="P11" s="1"/>
      <c r="Q11" s="1"/>
    </row>
    <row r="12" spans="3:17" ht="30" customHeight="1" x14ac:dyDescent="0.3">
      <c r="C12" t="s">
        <v>11</v>
      </c>
      <c r="D12" s="1">
        <f>I12-J12</f>
        <v>40978256</v>
      </c>
      <c r="E12" s="1">
        <v>4639961</v>
      </c>
      <c r="F12" s="1">
        <f>L12-F13</f>
        <v>8594061</v>
      </c>
      <c r="G12" s="1"/>
      <c r="H12" s="1"/>
      <c r="I12" s="1">
        <v>45352920</v>
      </c>
      <c r="J12" s="1">
        <v>4374664</v>
      </c>
      <c r="K12" s="1"/>
      <c r="L12" s="1">
        <v>39078082</v>
      </c>
      <c r="M12" s="1"/>
      <c r="N12" s="1"/>
      <c r="O12" s="1"/>
      <c r="P12" s="1"/>
      <c r="Q12" s="1"/>
    </row>
    <row r="13" spans="3:17" ht="30" customHeight="1" x14ac:dyDescent="0.3">
      <c r="C13" t="s">
        <v>12</v>
      </c>
      <c r="D13" s="1">
        <f>I13-J13</f>
        <v>73097160</v>
      </c>
      <c r="E13" s="1">
        <f>SUM(L13:P13)</f>
        <v>17986103</v>
      </c>
      <c r="F13" s="1">
        <v>30484021</v>
      </c>
      <c r="G13" s="1"/>
      <c r="H13" s="1"/>
      <c r="I13" s="1">
        <v>93567730</v>
      </c>
      <c r="J13" s="1">
        <v>20470570</v>
      </c>
      <c r="K13" s="1"/>
      <c r="L13" s="1">
        <v>11457141</v>
      </c>
      <c r="M13" s="1">
        <v>7032828</v>
      </c>
      <c r="N13" s="1">
        <v>108900</v>
      </c>
      <c r="O13" s="1">
        <v>33454</v>
      </c>
      <c r="P13" s="1">
        <v>-646220</v>
      </c>
      <c r="Q13" s="1"/>
    </row>
    <row r="14" spans="3:17" x14ac:dyDescent="0.3"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3:17" x14ac:dyDescent="0.3"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3">
      <c r="F16" s="1" t="s">
        <v>17</v>
      </c>
      <c r="G16" s="1" t="s">
        <v>18</v>
      </c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8:17" x14ac:dyDescent="0.3"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8:17" x14ac:dyDescent="0.3">
      <c r="H18" s="1"/>
      <c r="I18" s="1"/>
      <c r="J18" s="1"/>
      <c r="K18" s="1"/>
      <c r="L18" s="1"/>
      <c r="M18" s="1"/>
      <c r="N18" s="1"/>
      <c r="O18" s="1"/>
      <c r="P18" s="1"/>
      <c r="Q18" s="1"/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26년1월</vt:lpstr>
      <vt:lpstr>26년2월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Registered User</cp:lastModifiedBy>
  <dcterms:created xsi:type="dcterms:W3CDTF">2026-03-17T05:05:02Z</dcterms:created>
  <dcterms:modified xsi:type="dcterms:W3CDTF">2026-03-17T09:13:54Z</dcterms:modified>
</cp:coreProperties>
</file>